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npyProjects\USDebate\"/>
    </mc:Choice>
  </mc:AlternateContent>
  <xr:revisionPtr revIDLastSave="0" documentId="13_ncr:1_{D142116C-F631-4C43-919C-4BBD00842F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Questions Detail" sheetId="1" r:id="rId1"/>
    <sheet name="Section Summary" sheetId="2" r:id="rId2"/>
    <sheet name="Challenge Outcomes" sheetId="3" r:id="rId3"/>
    <sheet name="Game Scena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C19" i="3"/>
  <c r="B19" i="3"/>
  <c r="A19" i="3"/>
  <c r="E18" i="3"/>
  <c r="C18" i="3"/>
  <c r="B18" i="3"/>
  <c r="A18" i="3"/>
  <c r="E17" i="3"/>
  <c r="C17" i="3"/>
  <c r="B17" i="3"/>
  <c r="A17" i="3"/>
  <c r="E16" i="3"/>
  <c r="C16" i="3"/>
  <c r="B16" i="3"/>
  <c r="A16" i="3"/>
  <c r="F15" i="3"/>
  <c r="E15" i="3"/>
  <c r="G15" i="3" s="1"/>
  <c r="C15" i="3"/>
  <c r="B15" i="3"/>
  <c r="A15" i="3"/>
  <c r="F14" i="3"/>
  <c r="C14" i="3"/>
  <c r="B14" i="3"/>
  <c r="A14" i="3"/>
  <c r="D13" i="3"/>
  <c r="C13" i="3"/>
  <c r="B13" i="3"/>
  <c r="A13" i="3"/>
  <c r="F12" i="3"/>
  <c r="C12" i="3"/>
  <c r="B12" i="3"/>
  <c r="A12" i="3"/>
  <c r="D11" i="3"/>
  <c r="C11" i="3"/>
  <c r="B11" i="3"/>
  <c r="A11" i="3"/>
  <c r="E10" i="3"/>
  <c r="D10" i="3"/>
  <c r="C10" i="3"/>
  <c r="B10" i="3"/>
  <c r="A10" i="3"/>
  <c r="C9" i="3"/>
  <c r="B9" i="3"/>
  <c r="A9" i="3"/>
  <c r="F8" i="3"/>
  <c r="E8" i="3"/>
  <c r="G8" i="3" s="1"/>
  <c r="C8" i="3"/>
  <c r="B8" i="3"/>
  <c r="A8" i="3"/>
  <c r="E7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F2" i="3"/>
  <c r="D2" i="3"/>
  <c r="C2" i="3"/>
  <c r="B2" i="3"/>
  <c r="A2" i="3"/>
  <c r="B10" i="2"/>
  <c r="H9" i="2"/>
  <c r="D9" i="2"/>
  <c r="C9" i="4" s="1"/>
  <c r="C9" i="2"/>
  <c r="E9" i="2" s="1"/>
  <c r="F8" i="2"/>
  <c r="E8" i="2"/>
  <c r="D8" i="2"/>
  <c r="C8" i="2"/>
  <c r="G7" i="2"/>
  <c r="D7" i="2"/>
  <c r="C7" i="4" s="1"/>
  <c r="C7" i="2"/>
  <c r="E7" i="2" s="1"/>
  <c r="D6" i="2"/>
  <c r="C6" i="4" s="1"/>
  <c r="C6" i="2"/>
  <c r="E6" i="2" s="1"/>
  <c r="I5" i="2"/>
  <c r="H5" i="2"/>
  <c r="D5" i="2"/>
  <c r="C5" i="2"/>
  <c r="E5" i="2" s="1"/>
  <c r="F4" i="2"/>
  <c r="E4" i="2"/>
  <c r="D4" i="2"/>
  <c r="C4" i="2"/>
  <c r="G3" i="2"/>
  <c r="J3" i="2" s="1"/>
  <c r="D3" i="2"/>
  <c r="C3" i="4" s="1"/>
  <c r="C3" i="2"/>
  <c r="E3" i="2" s="1"/>
  <c r="D2" i="2"/>
  <c r="D10" i="2" s="1"/>
  <c r="C2" i="2"/>
  <c r="E2" i="2" s="1"/>
  <c r="L25" i="1"/>
  <c r="F19" i="3" s="1"/>
  <c r="K25" i="1"/>
  <c r="J25" i="1"/>
  <c r="I25" i="1"/>
  <c r="E25" i="1"/>
  <c r="D19" i="3" s="1"/>
  <c r="L24" i="1"/>
  <c r="K24" i="1"/>
  <c r="J24" i="1"/>
  <c r="I24" i="1"/>
  <c r="E24" i="1"/>
  <c r="L23" i="1"/>
  <c r="I9" i="2" s="1"/>
  <c r="K9" i="2" s="1"/>
  <c r="K23" i="1"/>
  <c r="J23" i="1"/>
  <c r="G9" i="2" s="1"/>
  <c r="J9" i="2" s="1"/>
  <c r="I23" i="1"/>
  <c r="F9" i="2" s="1"/>
  <c r="E23" i="1"/>
  <c r="D18" i="3" s="1"/>
  <c r="L22" i="1"/>
  <c r="K22" i="1"/>
  <c r="J22" i="1"/>
  <c r="I22" i="1"/>
  <c r="E22" i="1"/>
  <c r="L21" i="1"/>
  <c r="F17" i="3" s="1"/>
  <c r="G17" i="3" s="1"/>
  <c r="K21" i="1"/>
  <c r="J21" i="1"/>
  <c r="I21" i="1"/>
  <c r="E21" i="1"/>
  <c r="D17" i="3" s="1"/>
  <c r="L20" i="1"/>
  <c r="I8" i="2" s="1"/>
  <c r="K8" i="2" s="1"/>
  <c r="K20" i="1"/>
  <c r="H8" i="2" s="1"/>
  <c r="J20" i="1"/>
  <c r="G8" i="2" s="1"/>
  <c r="I20" i="1"/>
  <c r="E20" i="1"/>
  <c r="D16" i="3" s="1"/>
  <c r="L19" i="1"/>
  <c r="K19" i="1"/>
  <c r="J19" i="1"/>
  <c r="I19" i="1"/>
  <c r="E19" i="1"/>
  <c r="D15" i="3" s="1"/>
  <c r="L18" i="1"/>
  <c r="I7" i="2" s="1"/>
  <c r="K18" i="1"/>
  <c r="J18" i="1"/>
  <c r="I18" i="1"/>
  <c r="E14" i="3" s="1"/>
  <c r="G14" i="3" s="1"/>
  <c r="E18" i="1"/>
  <c r="D14" i="3" s="1"/>
  <c r="L17" i="1"/>
  <c r="K17" i="1"/>
  <c r="H7" i="2" s="1"/>
  <c r="J17" i="1"/>
  <c r="I17" i="1"/>
  <c r="E17" i="1"/>
  <c r="L16" i="1"/>
  <c r="K16" i="1"/>
  <c r="J16" i="1"/>
  <c r="I16" i="1"/>
  <c r="E16" i="1"/>
  <c r="L15" i="1"/>
  <c r="F13" i="3" s="1"/>
  <c r="K15" i="1"/>
  <c r="E13" i="3" s="1"/>
  <c r="J15" i="1"/>
  <c r="I15" i="1"/>
  <c r="E15" i="1"/>
  <c r="L14" i="1"/>
  <c r="I6" i="2" s="1"/>
  <c r="K14" i="1"/>
  <c r="E12" i="3" s="1"/>
  <c r="G12" i="3" s="1"/>
  <c r="J14" i="1"/>
  <c r="G6" i="2" s="1"/>
  <c r="I14" i="1"/>
  <c r="F6" i="2" s="1"/>
  <c r="E14" i="1"/>
  <c r="D12" i="3" s="1"/>
  <c r="L13" i="1"/>
  <c r="F11" i="3" s="1"/>
  <c r="K13" i="1"/>
  <c r="E11" i="3" s="1"/>
  <c r="J13" i="1"/>
  <c r="I13" i="1"/>
  <c r="E13" i="1"/>
  <c r="L12" i="1"/>
  <c r="F10" i="3" s="1"/>
  <c r="K12" i="1"/>
  <c r="J12" i="1"/>
  <c r="I12" i="1"/>
  <c r="E12" i="1"/>
  <c r="L11" i="1"/>
  <c r="K11" i="1"/>
  <c r="J11" i="1"/>
  <c r="G5" i="2" s="1"/>
  <c r="J5" i="2" s="1"/>
  <c r="I11" i="1"/>
  <c r="F5" i="2" s="1"/>
  <c r="E11" i="1"/>
  <c r="D9" i="3" s="1"/>
  <c r="L10" i="1"/>
  <c r="K10" i="1"/>
  <c r="J10" i="1"/>
  <c r="I10" i="1"/>
  <c r="E10" i="1"/>
  <c r="D8" i="3" s="1"/>
  <c r="L9" i="1"/>
  <c r="K9" i="1"/>
  <c r="J9" i="1"/>
  <c r="F7" i="3" s="1"/>
  <c r="I9" i="1"/>
  <c r="E9" i="1"/>
  <c r="D7" i="3" s="1"/>
  <c r="L8" i="1"/>
  <c r="I4" i="2" s="1"/>
  <c r="K4" i="2" s="1"/>
  <c r="K8" i="1"/>
  <c r="H4" i="2" s="1"/>
  <c r="J8" i="1"/>
  <c r="G4" i="2" s="1"/>
  <c r="J4" i="2" s="1"/>
  <c r="I8" i="1"/>
  <c r="E8" i="1"/>
  <c r="D6" i="3" s="1"/>
  <c r="L7" i="1"/>
  <c r="K7" i="1"/>
  <c r="J7" i="1"/>
  <c r="I7" i="1"/>
  <c r="E7" i="1"/>
  <c r="L6" i="1"/>
  <c r="I3" i="2" s="1"/>
  <c r="K6" i="1"/>
  <c r="J6" i="1"/>
  <c r="F5" i="3" s="1"/>
  <c r="I6" i="1"/>
  <c r="F3" i="2" s="1"/>
  <c r="E6" i="1"/>
  <c r="D5" i="3" s="1"/>
  <c r="L5" i="1"/>
  <c r="F4" i="3" s="1"/>
  <c r="K5" i="1"/>
  <c r="H3" i="2" s="1"/>
  <c r="J5" i="1"/>
  <c r="I5" i="1"/>
  <c r="E5" i="1"/>
  <c r="D4" i="3" s="1"/>
  <c r="L4" i="1"/>
  <c r="F3" i="3" s="1"/>
  <c r="K4" i="1"/>
  <c r="E3" i="3" s="1"/>
  <c r="G3" i="3" s="1"/>
  <c r="J4" i="1"/>
  <c r="I4" i="1"/>
  <c r="E4" i="1"/>
  <c r="D3" i="3" s="1"/>
  <c r="L3" i="1"/>
  <c r="K3" i="1"/>
  <c r="J3" i="1"/>
  <c r="I3" i="1"/>
  <c r="E2" i="3" s="1"/>
  <c r="G2" i="3" s="1"/>
  <c r="E3" i="1"/>
  <c r="L2" i="1"/>
  <c r="I2" i="2" s="1"/>
  <c r="K2" i="1"/>
  <c r="H2" i="2" s="1"/>
  <c r="J2" i="1"/>
  <c r="G2" i="2" s="1"/>
  <c r="I2" i="1"/>
  <c r="F2" i="2" s="1"/>
  <c r="E2" i="1"/>
  <c r="A9" i="4"/>
  <c r="D8" i="4"/>
  <c r="E8" i="4" s="1"/>
  <c r="C8" i="4"/>
  <c r="B8" i="4"/>
  <c r="A8" i="4"/>
  <c r="A7" i="4"/>
  <c r="B6" i="4"/>
  <c r="A6" i="4"/>
  <c r="C5" i="4"/>
  <c r="B5" i="4"/>
  <c r="A5" i="4"/>
  <c r="C4" i="4"/>
  <c r="B4" i="4"/>
  <c r="D4" i="4" s="1"/>
  <c r="E4" i="4" s="1"/>
  <c r="A4" i="4"/>
  <c r="A3" i="4"/>
  <c r="A2" i="4"/>
  <c r="K6" i="2" l="1"/>
  <c r="J7" i="2"/>
  <c r="D6" i="4"/>
  <c r="E6" i="4" s="1"/>
  <c r="J2" i="2"/>
  <c r="G10" i="2"/>
  <c r="G13" i="3"/>
  <c r="J8" i="2"/>
  <c r="G18" i="3"/>
  <c r="G11" i="3"/>
  <c r="G7" i="3"/>
  <c r="K2" i="2"/>
  <c r="I10" i="2"/>
  <c r="C15" i="4"/>
  <c r="G10" i="3"/>
  <c r="K3" i="2"/>
  <c r="E10" i="2"/>
  <c r="K5" i="2"/>
  <c r="G19" i="3"/>
  <c r="B9" i="4"/>
  <c r="E4" i="3"/>
  <c r="G4" i="3" s="1"/>
  <c r="F9" i="3"/>
  <c r="B2" i="4"/>
  <c r="H6" i="2"/>
  <c r="J6" i="2" s="1"/>
  <c r="F16" i="3"/>
  <c r="G16" i="3" s="1"/>
  <c r="C10" i="2"/>
  <c r="E9" i="3"/>
  <c r="G9" i="3" s="1"/>
  <c r="C2" i="4"/>
  <c r="C16" i="4" s="1"/>
  <c r="B7" i="4"/>
  <c r="D7" i="4" s="1"/>
  <c r="E7" i="4" s="1"/>
  <c r="E6" i="3"/>
  <c r="F6" i="3"/>
  <c r="F18" i="3"/>
  <c r="B3" i="4"/>
  <c r="D3" i="4" s="1"/>
  <c r="E3" i="4" s="1"/>
  <c r="D5" i="4"/>
  <c r="E5" i="4" s="1"/>
  <c r="E5" i="3"/>
  <c r="G5" i="3" s="1"/>
  <c r="F7" i="2"/>
  <c r="F10" i="2" s="1"/>
  <c r="K7" i="2" l="1"/>
  <c r="H10" i="2"/>
  <c r="J10" i="2"/>
  <c r="C13" i="4"/>
  <c r="B13" i="4"/>
  <c r="D13" i="4" s="1"/>
  <c r="E13" i="4" s="1"/>
  <c r="D9" i="4"/>
  <c r="E9" i="4" s="1"/>
  <c r="B15" i="4"/>
  <c r="D15" i="4" s="1"/>
  <c r="E15" i="4" s="1"/>
  <c r="K10" i="2"/>
  <c r="C14" i="4"/>
  <c r="B16" i="4"/>
  <c r="D16" i="4" s="1"/>
  <c r="E16" i="4" s="1"/>
  <c r="D2" i="4"/>
  <c r="E2" i="4" s="1"/>
  <c r="B14" i="4"/>
  <c r="D14" i="4" s="1"/>
  <c r="E14" i="4" s="1"/>
  <c r="G6" i="3"/>
</calcChain>
</file>

<file path=xl/sharedStrings.xml><?xml version="1.0" encoding="utf-8"?>
<sst xmlns="http://schemas.openxmlformats.org/spreadsheetml/2006/main" count="136" uniqueCount="75">
  <si>
    <t>Section</t>
  </si>
  <si>
    <t>Harris (2Q)</t>
  </si>
  <si>
    <t>Trump (2Q)</t>
  </si>
  <si>
    <t>Net (H-T)</t>
  </si>
  <si>
    <t>Favors</t>
  </si>
  <si>
    <t>5-Section Game Scenarios</t>
  </si>
  <si>
    <t>Scenario</t>
  </si>
  <si>
    <t>Harris Total</t>
  </si>
  <si>
    <t>Trump Total</t>
  </si>
  <si>
    <t>Net</t>
  </si>
  <si>
    <t>Winner</t>
  </si>
  <si>
    <t>Best for Harris</t>
  </si>
  <si>
    <t>Best for Trump</t>
  </si>
  <si>
    <t>Balanced</t>
  </si>
  <si>
    <t>Average (random 5)</t>
  </si>
  <si>
    <t>Topic</t>
  </si>
  <si>
    <t>Question</t>
  </si>
  <si>
    <t>Harris Base</t>
  </si>
  <si>
    <t>Trump Base</t>
  </si>
  <si>
    <t>Challenge Target</t>
  </si>
  <si>
    <t>Fumble Effect</t>
  </si>
  <si>
    <t>Recover Effect</t>
  </si>
  <si>
    <t>Harris Min</t>
  </si>
  <si>
    <t>Harris Max</t>
  </si>
  <si>
    <t>Trump Min</t>
  </si>
  <si>
    <t>Trump Max</t>
  </si>
  <si>
    <t>Economy</t>
  </si>
  <si>
    <t>Q1: Are Americans better off?</t>
  </si>
  <si>
    <t>None</t>
  </si>
  <si>
    <t>Q2: Who's to blame for inflation?</t>
  </si>
  <si>
    <t>Harris</t>
  </si>
  <si>
    <t>Q3: What are your economic plans?</t>
  </si>
  <si>
    <t>Trump</t>
  </si>
  <si>
    <t>Tariffs</t>
  </si>
  <si>
    <t>Q1: Will tariffs raise prices?</t>
  </si>
  <si>
    <t>Q2: How will you handle China?</t>
  </si>
  <si>
    <t>Q3: What about trade deficit?</t>
  </si>
  <si>
    <t>Abortion</t>
  </si>
  <si>
    <t>Q1: Why should women trust you?</t>
  </si>
  <si>
    <t>Q2: Would you support restrictions?</t>
  </si>
  <si>
    <t>Q3: Would you veto national ban?</t>
  </si>
  <si>
    <t>Immigration</t>
  </si>
  <si>
    <t>Q1: Why wait to act on border?</t>
  </si>
  <si>
    <t>Q2: Why kill the border bill?</t>
  </si>
  <si>
    <t>Q3: How would you deport millions?</t>
  </si>
  <si>
    <t>January 6th</t>
  </si>
  <si>
    <t>Q1: Any regrets about Jan 6th?</t>
  </si>
  <si>
    <t>Q2: Do you accept you lost 2020?</t>
  </si>
  <si>
    <t>Q3: Greatest threat to democracy?</t>
  </si>
  <si>
    <t>Israel</t>
  </si>
  <si>
    <t>Q1: How achieve a ceasefire?</t>
  </si>
  <si>
    <t>Q2: Do you support Israel?</t>
  </si>
  <si>
    <t>Q3: Why do dictators support you?</t>
  </si>
  <si>
    <t>Ukraine</t>
  </si>
  <si>
    <t>Q1: How end it in 24 hours?</t>
  </si>
  <si>
    <t>Q2: Do you want Ukraine to win?</t>
  </si>
  <si>
    <t>Q3: Why support NATO?</t>
  </si>
  <si>
    <t>Race</t>
  </si>
  <si>
    <t>Q1: Why question her racial identity?</t>
  </si>
  <si>
    <t>Q2: How would you unite country?</t>
  </si>
  <si>
    <t>Q3: What's your record on race?</t>
  </si>
  <si>
    <t>Total Questions</t>
  </si>
  <si>
    <t>Harris Total (Base)</t>
  </si>
  <si>
    <t>Trump Total (Base)</t>
  </si>
  <si>
    <t>Net (H - T)</t>
  </si>
  <si>
    <t>Best Case Harris Net</t>
  </si>
  <si>
    <t>Best Case Trump Net</t>
  </si>
  <si>
    <t>Winner of the section</t>
  </si>
  <si>
    <t>TOTAL (All Sections)</t>
  </si>
  <si>
    <t>Calculated all three questions</t>
  </si>
  <si>
    <t>Target</t>
  </si>
  <si>
    <t>No Challenge</t>
  </si>
  <si>
    <t>Fumble (50%)</t>
  </si>
  <si>
    <t>Recover (50%)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</si>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</sst>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Noto Sans SC"/>
      <family val="2"/>
      <charset val="134"/>
    </font>
    <font>
      <sz val="11"/>
      <color theme="1"/>
      <name val="Noto Sans SC"/>
      <family val="2"/>
      <charset val="134"/>
    </font>
    <font>
      <b/>
      <sz val="11"/>
      <name val="Noto Sans SC"/>
      <family val="2"/>
      <charset val="134"/>
    </font>
    <font>
      <b/>
      <sz val="12"/>
      <name val="Noto Sans SC"/>
      <family val="2"/>
      <charset val="134"/>
    </font>
    <font>
      <b/>
      <sz val="1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/>
    <xf numFmtId="0" fontId="2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N20" sqref="N20"/>
    </sheetView>
  </sheetViews>
  <sheetFormatPr defaultRowHeight="18" x14ac:dyDescent="0.45"/>
  <cols>
    <col min="1" max="1" width="12.77734375" style="2" bestFit="1" customWidth="1"/>
    <col min="2" max="2" width="41.33203125" style="2" bestFit="1" customWidth="1"/>
    <col min="3" max="3" width="14.109375" style="2" bestFit="1" customWidth="1"/>
    <col min="4" max="4" width="12.88671875" style="2" bestFit="1" customWidth="1"/>
    <col min="5" max="5" width="11.6640625" style="2" bestFit="1" customWidth="1"/>
    <col min="6" max="6" width="20.21875" style="2" bestFit="1" customWidth="1"/>
    <col min="7" max="7" width="16.5546875" style="2" bestFit="1" customWidth="1"/>
    <col min="8" max="8" width="17.77734375" style="2" bestFit="1" customWidth="1"/>
    <col min="9" max="10" width="12.88671875" style="2" bestFit="1" customWidth="1"/>
    <col min="11" max="12" width="11.6640625" style="2" bestFit="1" customWidth="1"/>
    <col min="13" max="15" width="8.88671875" style="2" customWidth="1"/>
    <col min="16" max="16384" width="8.88671875" style="2"/>
  </cols>
  <sheetData>
    <row r="1" spans="1:12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3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45">
      <c r="A2" s="9" t="s">
        <v>26</v>
      </c>
      <c r="B2" s="9" t="s">
        <v>27</v>
      </c>
      <c r="C2" s="9">
        <v>5</v>
      </c>
      <c r="D2" s="9">
        <v>7</v>
      </c>
      <c r="E2" s="9">
        <f t="shared" ref="E2:E25" si="0">C2-D2</f>
        <v>-2</v>
      </c>
      <c r="F2" s="9" t="s">
        <v>28</v>
      </c>
      <c r="G2" s="9">
        <v>0</v>
      </c>
      <c r="H2" s="9">
        <v>0</v>
      </c>
      <c r="I2" s="9">
        <f t="shared" ref="I2:I25" si="1">IF(F2="Harris",C2+G2,C2)</f>
        <v>5</v>
      </c>
      <c r="J2" s="9">
        <f t="shared" ref="J2:J25" si="2">IF(F2="Harris",C2+H2,C2)</f>
        <v>5</v>
      </c>
      <c r="K2" s="9">
        <f t="shared" ref="K2:K25" si="3">IF(F2="Trump",D2+G2,D2)</f>
        <v>7</v>
      </c>
      <c r="L2" s="9">
        <f t="shared" ref="L2:L25" si="4">IF(F2="Trump",D2+H2,D2)</f>
        <v>7</v>
      </c>
    </row>
    <row r="3" spans="1:12" x14ac:dyDescent="0.45">
      <c r="A3" s="9" t="s">
        <v>26</v>
      </c>
      <c r="B3" s="9" t="s">
        <v>29</v>
      </c>
      <c r="C3" s="9">
        <v>4</v>
      </c>
      <c r="D3" s="9">
        <v>8</v>
      </c>
      <c r="E3" s="9">
        <f t="shared" si="0"/>
        <v>-4</v>
      </c>
      <c r="F3" s="9" t="s">
        <v>30</v>
      </c>
      <c r="G3" s="9">
        <v>-2</v>
      </c>
      <c r="H3" s="9">
        <v>2</v>
      </c>
      <c r="I3" s="9">
        <f t="shared" si="1"/>
        <v>2</v>
      </c>
      <c r="J3" s="9">
        <f t="shared" si="2"/>
        <v>6</v>
      </c>
      <c r="K3" s="9">
        <f t="shared" si="3"/>
        <v>8</v>
      </c>
      <c r="L3" s="9">
        <f t="shared" si="4"/>
        <v>8</v>
      </c>
    </row>
    <row r="4" spans="1:12" x14ac:dyDescent="0.45">
      <c r="A4" s="9" t="s">
        <v>26</v>
      </c>
      <c r="B4" s="9" t="s">
        <v>31</v>
      </c>
      <c r="C4" s="9">
        <v>7</v>
      </c>
      <c r="D4" s="9">
        <v>5</v>
      </c>
      <c r="E4" s="9">
        <f t="shared" si="0"/>
        <v>2</v>
      </c>
      <c r="F4" s="9" t="s">
        <v>32</v>
      </c>
      <c r="G4" s="9">
        <v>-2</v>
      </c>
      <c r="H4" s="9">
        <v>2</v>
      </c>
      <c r="I4" s="9">
        <f t="shared" si="1"/>
        <v>7</v>
      </c>
      <c r="J4" s="9">
        <f t="shared" si="2"/>
        <v>7</v>
      </c>
      <c r="K4" s="9">
        <f t="shared" si="3"/>
        <v>3</v>
      </c>
      <c r="L4" s="9">
        <f t="shared" si="4"/>
        <v>7</v>
      </c>
    </row>
    <row r="5" spans="1:12" x14ac:dyDescent="0.45">
      <c r="A5" s="9" t="s">
        <v>33</v>
      </c>
      <c r="B5" s="9" t="s">
        <v>34</v>
      </c>
      <c r="C5" s="9">
        <v>6</v>
      </c>
      <c r="D5" s="9">
        <v>5</v>
      </c>
      <c r="E5" s="9">
        <f t="shared" si="0"/>
        <v>1</v>
      </c>
      <c r="F5" s="9" t="s">
        <v>32</v>
      </c>
      <c r="G5" s="9">
        <v>-2</v>
      </c>
      <c r="H5" s="9">
        <v>2</v>
      </c>
      <c r="I5" s="9">
        <f t="shared" si="1"/>
        <v>6</v>
      </c>
      <c r="J5" s="9">
        <f t="shared" si="2"/>
        <v>6</v>
      </c>
      <c r="K5" s="9">
        <f t="shared" si="3"/>
        <v>3</v>
      </c>
      <c r="L5" s="9">
        <f t="shared" si="4"/>
        <v>7</v>
      </c>
    </row>
    <row r="6" spans="1:12" x14ac:dyDescent="0.45">
      <c r="A6" s="9" t="s">
        <v>33</v>
      </c>
      <c r="B6" s="9" t="s">
        <v>35</v>
      </c>
      <c r="C6" s="9">
        <v>4</v>
      </c>
      <c r="D6" s="9">
        <v>8</v>
      </c>
      <c r="E6" s="9">
        <f t="shared" si="0"/>
        <v>-4</v>
      </c>
      <c r="F6" s="9" t="s">
        <v>30</v>
      </c>
      <c r="G6" s="9">
        <v>-2</v>
      </c>
      <c r="H6" s="9">
        <v>2</v>
      </c>
      <c r="I6" s="9">
        <f t="shared" si="1"/>
        <v>2</v>
      </c>
      <c r="J6" s="9">
        <f t="shared" si="2"/>
        <v>6</v>
      </c>
      <c r="K6" s="9">
        <f t="shared" si="3"/>
        <v>8</v>
      </c>
      <c r="L6" s="9">
        <f t="shared" si="4"/>
        <v>8</v>
      </c>
    </row>
    <row r="7" spans="1:12" x14ac:dyDescent="0.45">
      <c r="A7" s="9" t="s">
        <v>33</v>
      </c>
      <c r="B7" s="9" t="s">
        <v>36</v>
      </c>
      <c r="C7" s="9">
        <v>5</v>
      </c>
      <c r="D7" s="9">
        <v>7</v>
      </c>
      <c r="E7" s="9">
        <f t="shared" si="0"/>
        <v>-2</v>
      </c>
      <c r="F7" s="9" t="s">
        <v>28</v>
      </c>
      <c r="G7" s="9">
        <v>0</v>
      </c>
      <c r="H7" s="9">
        <v>0</v>
      </c>
      <c r="I7" s="9">
        <f t="shared" si="1"/>
        <v>5</v>
      </c>
      <c r="J7" s="9">
        <f t="shared" si="2"/>
        <v>5</v>
      </c>
      <c r="K7" s="9">
        <f t="shared" si="3"/>
        <v>7</v>
      </c>
      <c r="L7" s="9">
        <f t="shared" si="4"/>
        <v>7</v>
      </c>
    </row>
    <row r="8" spans="1:12" x14ac:dyDescent="0.45">
      <c r="A8" s="9" t="s">
        <v>37</v>
      </c>
      <c r="B8" s="9" t="s">
        <v>38</v>
      </c>
      <c r="C8" s="9">
        <v>9</v>
      </c>
      <c r="D8" s="9">
        <v>3</v>
      </c>
      <c r="E8" s="9">
        <f t="shared" si="0"/>
        <v>6</v>
      </c>
      <c r="F8" s="9" t="s">
        <v>32</v>
      </c>
      <c r="G8" s="9">
        <v>-2</v>
      </c>
      <c r="H8" s="9">
        <v>2</v>
      </c>
      <c r="I8" s="9">
        <f t="shared" si="1"/>
        <v>9</v>
      </c>
      <c r="J8" s="9">
        <f t="shared" si="2"/>
        <v>9</v>
      </c>
      <c r="K8" s="9">
        <f t="shared" si="3"/>
        <v>1</v>
      </c>
      <c r="L8" s="9">
        <f t="shared" si="4"/>
        <v>5</v>
      </c>
    </row>
    <row r="9" spans="1:12" x14ac:dyDescent="0.45">
      <c r="A9" s="9" t="s">
        <v>37</v>
      </c>
      <c r="B9" s="9" t="s">
        <v>39</v>
      </c>
      <c r="C9" s="9">
        <v>6</v>
      </c>
      <c r="D9" s="9">
        <v>6</v>
      </c>
      <c r="E9" s="9">
        <f t="shared" si="0"/>
        <v>0</v>
      </c>
      <c r="F9" s="9" t="s">
        <v>30</v>
      </c>
      <c r="G9" s="9">
        <v>-2</v>
      </c>
      <c r="H9" s="9">
        <v>2</v>
      </c>
      <c r="I9" s="9">
        <f t="shared" si="1"/>
        <v>4</v>
      </c>
      <c r="J9" s="9">
        <f t="shared" si="2"/>
        <v>8</v>
      </c>
      <c r="K9" s="9">
        <f t="shared" si="3"/>
        <v>6</v>
      </c>
      <c r="L9" s="9">
        <f t="shared" si="4"/>
        <v>6</v>
      </c>
    </row>
    <row r="10" spans="1:12" x14ac:dyDescent="0.45">
      <c r="A10" s="9" t="s">
        <v>37</v>
      </c>
      <c r="B10" s="9" t="s">
        <v>40</v>
      </c>
      <c r="C10" s="9">
        <v>9</v>
      </c>
      <c r="D10" s="9">
        <v>2</v>
      </c>
      <c r="E10" s="9">
        <f t="shared" si="0"/>
        <v>7</v>
      </c>
      <c r="F10" s="9" t="s">
        <v>32</v>
      </c>
      <c r="G10" s="9">
        <v>-2</v>
      </c>
      <c r="H10" s="9">
        <v>2</v>
      </c>
      <c r="I10" s="9">
        <f t="shared" si="1"/>
        <v>9</v>
      </c>
      <c r="J10" s="9">
        <f t="shared" si="2"/>
        <v>9</v>
      </c>
      <c r="K10" s="9">
        <f t="shared" si="3"/>
        <v>0</v>
      </c>
      <c r="L10" s="9">
        <f t="shared" si="4"/>
        <v>4</v>
      </c>
    </row>
    <row r="11" spans="1:12" x14ac:dyDescent="0.45">
      <c r="A11" s="9" t="s">
        <v>41</v>
      </c>
      <c r="B11" s="9" t="s">
        <v>42</v>
      </c>
      <c r="C11" s="9">
        <v>4</v>
      </c>
      <c r="D11" s="9">
        <v>8</v>
      </c>
      <c r="E11" s="9">
        <f t="shared" si="0"/>
        <v>-4</v>
      </c>
      <c r="F11" s="9" t="s">
        <v>30</v>
      </c>
      <c r="G11" s="9">
        <v>-2</v>
      </c>
      <c r="H11" s="9">
        <v>2</v>
      </c>
      <c r="I11" s="9">
        <f t="shared" si="1"/>
        <v>2</v>
      </c>
      <c r="J11" s="9">
        <f t="shared" si="2"/>
        <v>6</v>
      </c>
      <c r="K11" s="9">
        <f t="shared" si="3"/>
        <v>8</v>
      </c>
      <c r="L11" s="9">
        <f t="shared" si="4"/>
        <v>8</v>
      </c>
    </row>
    <row r="12" spans="1:12" x14ac:dyDescent="0.45">
      <c r="A12" s="9" t="s">
        <v>41</v>
      </c>
      <c r="B12" s="9" t="s">
        <v>43</v>
      </c>
      <c r="C12" s="9">
        <v>7</v>
      </c>
      <c r="D12" s="9">
        <v>5</v>
      </c>
      <c r="E12" s="9">
        <f t="shared" si="0"/>
        <v>2</v>
      </c>
      <c r="F12" s="9" t="s">
        <v>32</v>
      </c>
      <c r="G12" s="9">
        <v>-2</v>
      </c>
      <c r="H12" s="9">
        <v>2</v>
      </c>
      <c r="I12" s="9">
        <f t="shared" si="1"/>
        <v>7</v>
      </c>
      <c r="J12" s="9">
        <f t="shared" si="2"/>
        <v>7</v>
      </c>
      <c r="K12" s="9">
        <f t="shared" si="3"/>
        <v>3</v>
      </c>
      <c r="L12" s="9">
        <f t="shared" si="4"/>
        <v>7</v>
      </c>
    </row>
    <row r="13" spans="1:12" x14ac:dyDescent="0.45">
      <c r="A13" s="9" t="s">
        <v>41</v>
      </c>
      <c r="B13" s="9" t="s">
        <v>44</v>
      </c>
      <c r="C13" s="9">
        <v>4</v>
      </c>
      <c r="D13" s="9">
        <v>8</v>
      </c>
      <c r="E13" s="9">
        <f t="shared" si="0"/>
        <v>-4</v>
      </c>
      <c r="F13" s="9" t="s">
        <v>32</v>
      </c>
      <c r="G13" s="9">
        <v>-2</v>
      </c>
      <c r="H13" s="9">
        <v>2</v>
      </c>
      <c r="I13" s="9">
        <f t="shared" si="1"/>
        <v>4</v>
      </c>
      <c r="J13" s="9">
        <f t="shared" si="2"/>
        <v>4</v>
      </c>
      <c r="K13" s="9">
        <f t="shared" si="3"/>
        <v>6</v>
      </c>
      <c r="L13" s="9">
        <f t="shared" si="4"/>
        <v>10</v>
      </c>
    </row>
    <row r="14" spans="1:12" x14ac:dyDescent="0.45">
      <c r="A14" s="9" t="s">
        <v>45</v>
      </c>
      <c r="B14" s="9" t="s">
        <v>46</v>
      </c>
      <c r="C14" s="9">
        <v>8</v>
      </c>
      <c r="D14" s="9">
        <v>4</v>
      </c>
      <c r="E14" s="9">
        <f t="shared" si="0"/>
        <v>4</v>
      </c>
      <c r="F14" s="9" t="s">
        <v>32</v>
      </c>
      <c r="G14" s="9">
        <v>-2</v>
      </c>
      <c r="H14" s="9">
        <v>2</v>
      </c>
      <c r="I14" s="9">
        <f t="shared" si="1"/>
        <v>8</v>
      </c>
      <c r="J14" s="9">
        <f t="shared" si="2"/>
        <v>8</v>
      </c>
      <c r="K14" s="9">
        <f t="shared" si="3"/>
        <v>2</v>
      </c>
      <c r="L14" s="9">
        <f t="shared" si="4"/>
        <v>6</v>
      </c>
    </row>
    <row r="15" spans="1:12" x14ac:dyDescent="0.45">
      <c r="A15" s="9" t="s">
        <v>45</v>
      </c>
      <c r="B15" s="9" t="s">
        <v>47</v>
      </c>
      <c r="C15" s="9">
        <v>8</v>
      </c>
      <c r="D15" s="9">
        <v>3</v>
      </c>
      <c r="E15" s="9">
        <f t="shared" si="0"/>
        <v>5</v>
      </c>
      <c r="F15" s="9" t="s">
        <v>32</v>
      </c>
      <c r="G15" s="9">
        <v>-2</v>
      </c>
      <c r="H15" s="9">
        <v>2</v>
      </c>
      <c r="I15" s="9">
        <f t="shared" si="1"/>
        <v>8</v>
      </c>
      <c r="J15" s="9">
        <f t="shared" si="2"/>
        <v>8</v>
      </c>
      <c r="K15" s="9">
        <f t="shared" si="3"/>
        <v>1</v>
      </c>
      <c r="L15" s="9">
        <f t="shared" si="4"/>
        <v>5</v>
      </c>
    </row>
    <row r="16" spans="1:12" x14ac:dyDescent="0.45">
      <c r="A16" s="9" t="s">
        <v>45</v>
      </c>
      <c r="B16" s="9" t="s">
        <v>48</v>
      </c>
      <c r="C16" s="9">
        <v>6</v>
      </c>
      <c r="D16" s="9">
        <v>6</v>
      </c>
      <c r="E16" s="9">
        <f t="shared" si="0"/>
        <v>0</v>
      </c>
      <c r="F16" s="9" t="s">
        <v>28</v>
      </c>
      <c r="G16" s="9">
        <v>0</v>
      </c>
      <c r="H16" s="9">
        <v>0</v>
      </c>
      <c r="I16" s="9">
        <f t="shared" si="1"/>
        <v>6</v>
      </c>
      <c r="J16" s="9">
        <f t="shared" si="2"/>
        <v>6</v>
      </c>
      <c r="K16" s="9">
        <f t="shared" si="3"/>
        <v>6</v>
      </c>
      <c r="L16" s="9">
        <f t="shared" si="4"/>
        <v>6</v>
      </c>
    </row>
    <row r="17" spans="1:12" x14ac:dyDescent="0.45">
      <c r="A17" s="9" t="s">
        <v>49</v>
      </c>
      <c r="B17" s="9" t="s">
        <v>50</v>
      </c>
      <c r="C17" s="9">
        <v>6</v>
      </c>
      <c r="D17" s="9">
        <v>6</v>
      </c>
      <c r="E17" s="9">
        <f t="shared" si="0"/>
        <v>0</v>
      </c>
      <c r="F17" s="9" t="s">
        <v>28</v>
      </c>
      <c r="G17" s="9">
        <v>0</v>
      </c>
      <c r="H17" s="9">
        <v>0</v>
      </c>
      <c r="I17" s="9">
        <f t="shared" si="1"/>
        <v>6</v>
      </c>
      <c r="J17" s="9">
        <f t="shared" si="2"/>
        <v>6</v>
      </c>
      <c r="K17" s="9">
        <f t="shared" si="3"/>
        <v>6</v>
      </c>
      <c r="L17" s="9">
        <f t="shared" si="4"/>
        <v>6</v>
      </c>
    </row>
    <row r="18" spans="1:12" x14ac:dyDescent="0.45">
      <c r="A18" s="9" t="s">
        <v>49</v>
      </c>
      <c r="B18" s="9" t="s">
        <v>51</v>
      </c>
      <c r="C18" s="9">
        <v>4</v>
      </c>
      <c r="D18" s="9">
        <v>8</v>
      </c>
      <c r="E18" s="9">
        <f t="shared" si="0"/>
        <v>-4</v>
      </c>
      <c r="F18" s="9" t="s">
        <v>30</v>
      </c>
      <c r="G18" s="9">
        <v>-2</v>
      </c>
      <c r="H18" s="9">
        <v>2</v>
      </c>
      <c r="I18" s="9">
        <f t="shared" si="1"/>
        <v>2</v>
      </c>
      <c r="J18" s="9">
        <f t="shared" si="2"/>
        <v>6</v>
      </c>
      <c r="K18" s="9">
        <f t="shared" si="3"/>
        <v>8</v>
      </c>
      <c r="L18" s="9">
        <f t="shared" si="4"/>
        <v>8</v>
      </c>
    </row>
    <row r="19" spans="1:12" x14ac:dyDescent="0.45">
      <c r="A19" s="9" t="s">
        <v>49</v>
      </c>
      <c r="B19" s="9" t="s">
        <v>52</v>
      </c>
      <c r="C19" s="9">
        <v>5</v>
      </c>
      <c r="D19" s="9">
        <v>7</v>
      </c>
      <c r="E19" s="9">
        <f t="shared" si="0"/>
        <v>-2</v>
      </c>
      <c r="F19" s="9" t="s">
        <v>32</v>
      </c>
      <c r="G19" s="9">
        <v>-2</v>
      </c>
      <c r="H19" s="9">
        <v>2</v>
      </c>
      <c r="I19" s="9">
        <f t="shared" si="1"/>
        <v>5</v>
      </c>
      <c r="J19" s="9">
        <f t="shared" si="2"/>
        <v>5</v>
      </c>
      <c r="K19" s="9">
        <f t="shared" si="3"/>
        <v>5</v>
      </c>
      <c r="L19" s="9">
        <f t="shared" si="4"/>
        <v>9</v>
      </c>
    </row>
    <row r="20" spans="1:12" x14ac:dyDescent="0.45">
      <c r="A20" s="9" t="s">
        <v>53</v>
      </c>
      <c r="B20" s="9" t="s">
        <v>54</v>
      </c>
      <c r="C20" s="9">
        <v>7</v>
      </c>
      <c r="D20" s="9">
        <v>5</v>
      </c>
      <c r="E20" s="9">
        <f t="shared" si="0"/>
        <v>2</v>
      </c>
      <c r="F20" s="9" t="s">
        <v>32</v>
      </c>
      <c r="G20" s="9">
        <v>-2</v>
      </c>
      <c r="H20" s="9">
        <v>2</v>
      </c>
      <c r="I20" s="9">
        <f t="shared" si="1"/>
        <v>7</v>
      </c>
      <c r="J20" s="9">
        <f t="shared" si="2"/>
        <v>7</v>
      </c>
      <c r="K20" s="9">
        <f t="shared" si="3"/>
        <v>3</v>
      </c>
      <c r="L20" s="9">
        <f t="shared" si="4"/>
        <v>7</v>
      </c>
    </row>
    <row r="21" spans="1:12" x14ac:dyDescent="0.45">
      <c r="A21" s="9" t="s">
        <v>53</v>
      </c>
      <c r="B21" s="9" t="s">
        <v>55</v>
      </c>
      <c r="C21" s="9">
        <v>7</v>
      </c>
      <c r="D21" s="9">
        <v>5</v>
      </c>
      <c r="E21" s="9">
        <f t="shared" si="0"/>
        <v>2</v>
      </c>
      <c r="F21" s="9" t="s">
        <v>32</v>
      </c>
      <c r="G21" s="9">
        <v>-2</v>
      </c>
      <c r="H21" s="9">
        <v>2</v>
      </c>
      <c r="I21" s="9">
        <f t="shared" si="1"/>
        <v>7</v>
      </c>
      <c r="J21" s="9">
        <f t="shared" si="2"/>
        <v>7</v>
      </c>
      <c r="K21" s="9">
        <f t="shared" si="3"/>
        <v>3</v>
      </c>
      <c r="L21" s="9">
        <f t="shared" si="4"/>
        <v>7</v>
      </c>
    </row>
    <row r="22" spans="1:12" x14ac:dyDescent="0.45">
      <c r="A22" s="9" t="s">
        <v>53</v>
      </c>
      <c r="B22" s="9" t="s">
        <v>56</v>
      </c>
      <c r="C22" s="9">
        <v>5</v>
      </c>
      <c r="D22" s="9">
        <v>7</v>
      </c>
      <c r="E22" s="9">
        <f t="shared" si="0"/>
        <v>-2</v>
      </c>
      <c r="F22" s="9" t="s">
        <v>28</v>
      </c>
      <c r="G22" s="9">
        <v>0</v>
      </c>
      <c r="H22" s="9">
        <v>0</v>
      </c>
      <c r="I22" s="9">
        <f t="shared" si="1"/>
        <v>5</v>
      </c>
      <c r="J22" s="9">
        <f t="shared" si="2"/>
        <v>5</v>
      </c>
      <c r="K22" s="9">
        <f t="shared" si="3"/>
        <v>7</v>
      </c>
      <c r="L22" s="9">
        <f t="shared" si="4"/>
        <v>7</v>
      </c>
    </row>
    <row r="23" spans="1:12" x14ac:dyDescent="0.45">
      <c r="A23" s="9" t="s">
        <v>57</v>
      </c>
      <c r="B23" s="9" t="s">
        <v>58</v>
      </c>
      <c r="C23" s="9">
        <v>9</v>
      </c>
      <c r="D23" s="9">
        <v>2</v>
      </c>
      <c r="E23" s="9">
        <f t="shared" si="0"/>
        <v>7</v>
      </c>
      <c r="F23" s="9" t="s">
        <v>32</v>
      </c>
      <c r="G23" s="9">
        <v>-2</v>
      </c>
      <c r="H23" s="9">
        <v>2</v>
      </c>
      <c r="I23" s="9">
        <f t="shared" si="1"/>
        <v>9</v>
      </c>
      <c r="J23" s="9">
        <f t="shared" si="2"/>
        <v>9</v>
      </c>
      <c r="K23" s="9">
        <f t="shared" si="3"/>
        <v>0</v>
      </c>
      <c r="L23" s="9">
        <f t="shared" si="4"/>
        <v>4</v>
      </c>
    </row>
    <row r="24" spans="1:12" x14ac:dyDescent="0.45">
      <c r="A24" s="9" t="s">
        <v>57</v>
      </c>
      <c r="B24" s="9" t="s">
        <v>59</v>
      </c>
      <c r="C24" s="9">
        <v>8</v>
      </c>
      <c r="D24" s="9">
        <v>3</v>
      </c>
      <c r="E24" s="9">
        <f t="shared" si="0"/>
        <v>5</v>
      </c>
      <c r="F24" s="9" t="s">
        <v>28</v>
      </c>
      <c r="G24" s="9">
        <v>0</v>
      </c>
      <c r="H24" s="9">
        <v>0</v>
      </c>
      <c r="I24" s="9">
        <f t="shared" si="1"/>
        <v>8</v>
      </c>
      <c r="J24" s="9">
        <f t="shared" si="2"/>
        <v>8</v>
      </c>
      <c r="K24" s="9">
        <f t="shared" si="3"/>
        <v>3</v>
      </c>
      <c r="L24" s="9">
        <f t="shared" si="4"/>
        <v>3</v>
      </c>
    </row>
    <row r="25" spans="1:12" x14ac:dyDescent="0.45">
      <c r="A25" s="9" t="s">
        <v>57</v>
      </c>
      <c r="B25" s="9" t="s">
        <v>60</v>
      </c>
      <c r="C25" s="9">
        <v>6</v>
      </c>
      <c r="D25" s="9">
        <v>6</v>
      </c>
      <c r="E25" s="9">
        <f t="shared" si="0"/>
        <v>0</v>
      </c>
      <c r="F25" s="9" t="s">
        <v>32</v>
      </c>
      <c r="G25" s="9">
        <v>-2</v>
      </c>
      <c r="H25" s="9">
        <v>2</v>
      </c>
      <c r="I25" s="9">
        <f t="shared" si="1"/>
        <v>6</v>
      </c>
      <c r="J25" s="9">
        <f t="shared" si="2"/>
        <v>6</v>
      </c>
      <c r="K25" s="9">
        <f t="shared" si="3"/>
        <v>4</v>
      </c>
      <c r="L25" s="9">
        <f t="shared" si="4"/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F24" sqref="F24"/>
    </sheetView>
  </sheetViews>
  <sheetFormatPr defaultRowHeight="18" x14ac:dyDescent="0.45"/>
  <cols>
    <col min="1" max="1" width="22.5546875" style="2" bestFit="1" customWidth="1"/>
    <col min="2" max="2" width="17.77734375" style="2" bestFit="1" customWidth="1"/>
    <col min="3" max="3" width="21" style="2" bestFit="1" customWidth="1"/>
    <col min="4" max="4" width="21.44140625" style="2" bestFit="1" customWidth="1"/>
    <col min="5" max="5" width="11.5546875" style="2" bestFit="1" customWidth="1"/>
    <col min="6" max="6" width="11.77734375" style="2" bestFit="1" customWidth="1"/>
    <col min="7" max="8" width="12.33203125" style="2" bestFit="1" customWidth="1"/>
    <col min="9" max="9" width="12.77734375" style="2" bestFit="1" customWidth="1"/>
    <col min="10" max="10" width="22.5546875" style="2" bestFit="1" customWidth="1"/>
    <col min="11" max="11" width="23" style="2" bestFit="1" customWidth="1"/>
    <col min="12" max="12" width="23.5546875" style="2" bestFit="1" customWidth="1"/>
    <col min="13" max="15" width="8.88671875" style="2" customWidth="1"/>
    <col min="16" max="16384" width="8.88671875" style="2"/>
  </cols>
  <sheetData>
    <row r="1" spans="1:12" x14ac:dyDescent="0.45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65</v>
      </c>
      <c r="K1" s="1" t="s">
        <v>66</v>
      </c>
      <c r="L1" s="1" t="s">
        <v>67</v>
      </c>
    </row>
    <row r="2" spans="1:12" x14ac:dyDescent="0.45">
      <c r="A2" s="9" t="s">
        <v>26</v>
      </c>
      <c r="B2" s="9">
        <v>3</v>
      </c>
      <c r="C2" s="9">
        <f>SUM('Questions Detail'!C2:C4)</f>
        <v>16</v>
      </c>
      <c r="D2" s="9">
        <f>SUM('Questions Detail'!D2:D4)</f>
        <v>20</v>
      </c>
      <c r="E2" s="9">
        <f t="shared" ref="E2:E9" si="0">C2-D2</f>
        <v>-4</v>
      </c>
      <c r="F2" s="9">
        <f>SUM('Questions Detail'!I2:I4)</f>
        <v>14</v>
      </c>
      <c r="G2" s="9">
        <f>SUM('Questions Detail'!J2:J4)</f>
        <v>18</v>
      </c>
      <c r="H2" s="9">
        <f>SUM('Questions Detail'!K2:K4)</f>
        <v>18</v>
      </c>
      <c r="I2" s="9">
        <f>SUM('Questions Detail'!L2:L4)</f>
        <v>22</v>
      </c>
      <c r="J2" s="9">
        <f t="shared" ref="J2:J9" si="1">G2-H2</f>
        <v>0</v>
      </c>
      <c r="K2" s="9">
        <f t="shared" ref="K2:K9" si="2">I2-F2</f>
        <v>8</v>
      </c>
      <c r="L2" s="4" t="s">
        <v>32</v>
      </c>
    </row>
    <row r="3" spans="1:12" x14ac:dyDescent="0.45">
      <c r="A3" s="9" t="s">
        <v>33</v>
      </c>
      <c r="B3" s="9">
        <v>3</v>
      </c>
      <c r="C3" s="9">
        <f>SUM('Questions Detail'!C5:C7)</f>
        <v>15</v>
      </c>
      <c r="D3" s="9">
        <f>SUM('Questions Detail'!D5:D7)</f>
        <v>20</v>
      </c>
      <c r="E3" s="9">
        <f t="shared" si="0"/>
        <v>-5</v>
      </c>
      <c r="F3" s="9">
        <f>SUM('Questions Detail'!I5:I7)</f>
        <v>13</v>
      </c>
      <c r="G3" s="9">
        <f>SUM('Questions Detail'!J5:J7)</f>
        <v>17</v>
      </c>
      <c r="H3" s="9">
        <f>SUM('Questions Detail'!K5:K7)</f>
        <v>18</v>
      </c>
      <c r="I3" s="9">
        <f>SUM('Questions Detail'!L5:L7)</f>
        <v>22</v>
      </c>
      <c r="J3" s="9">
        <f t="shared" si="1"/>
        <v>-1</v>
      </c>
      <c r="K3" s="9">
        <f t="shared" si="2"/>
        <v>9</v>
      </c>
      <c r="L3" s="4" t="s">
        <v>32</v>
      </c>
    </row>
    <row r="4" spans="1:12" x14ac:dyDescent="0.45">
      <c r="A4" s="9" t="s">
        <v>37</v>
      </c>
      <c r="B4" s="9">
        <v>3</v>
      </c>
      <c r="C4" s="9">
        <f>SUM('Questions Detail'!C8:C10)</f>
        <v>24</v>
      </c>
      <c r="D4" s="9">
        <f>SUM('Questions Detail'!D8:D10)</f>
        <v>11</v>
      </c>
      <c r="E4" s="9">
        <f t="shared" si="0"/>
        <v>13</v>
      </c>
      <c r="F4" s="9">
        <f>SUM('Questions Detail'!I8:I10)</f>
        <v>22</v>
      </c>
      <c r="G4" s="9">
        <f>SUM('Questions Detail'!J8:J10)</f>
        <v>26</v>
      </c>
      <c r="H4" s="9">
        <f>SUM('Questions Detail'!K8:K10)</f>
        <v>7</v>
      </c>
      <c r="I4" s="9">
        <f>SUM('Questions Detail'!L8:L10)</f>
        <v>15</v>
      </c>
      <c r="J4" s="9">
        <f t="shared" si="1"/>
        <v>19</v>
      </c>
      <c r="K4" s="9">
        <f t="shared" si="2"/>
        <v>-7</v>
      </c>
      <c r="L4" s="5" t="s">
        <v>30</v>
      </c>
    </row>
    <row r="5" spans="1:12" x14ac:dyDescent="0.45">
      <c r="A5" s="9" t="s">
        <v>41</v>
      </c>
      <c r="B5" s="9">
        <v>3</v>
      </c>
      <c r="C5" s="9">
        <f>SUM('Questions Detail'!C11:C13)</f>
        <v>15</v>
      </c>
      <c r="D5" s="9">
        <f>SUM('Questions Detail'!D11:D13)</f>
        <v>21</v>
      </c>
      <c r="E5" s="9">
        <f t="shared" si="0"/>
        <v>-6</v>
      </c>
      <c r="F5" s="9">
        <f>SUM('Questions Detail'!I11:I13)</f>
        <v>13</v>
      </c>
      <c r="G5" s="9">
        <f>SUM('Questions Detail'!J11:J13)</f>
        <v>17</v>
      </c>
      <c r="H5" s="9">
        <f>SUM('Questions Detail'!K11:K13)</f>
        <v>17</v>
      </c>
      <c r="I5" s="9">
        <f>SUM('Questions Detail'!L11:L13)</f>
        <v>25</v>
      </c>
      <c r="J5" s="9">
        <f t="shared" si="1"/>
        <v>0</v>
      </c>
      <c r="K5" s="9">
        <f t="shared" si="2"/>
        <v>12</v>
      </c>
      <c r="L5" s="4" t="s">
        <v>32</v>
      </c>
    </row>
    <row r="6" spans="1:12" x14ac:dyDescent="0.45">
      <c r="A6" s="9" t="s">
        <v>45</v>
      </c>
      <c r="B6" s="9">
        <v>3</v>
      </c>
      <c r="C6" s="9">
        <f>SUM('Questions Detail'!C14:C16)</f>
        <v>22</v>
      </c>
      <c r="D6" s="9">
        <f>SUM('Questions Detail'!D14:D16)</f>
        <v>13</v>
      </c>
      <c r="E6" s="9">
        <f t="shared" si="0"/>
        <v>9</v>
      </c>
      <c r="F6" s="9">
        <f>SUM('Questions Detail'!I14:I16)</f>
        <v>22</v>
      </c>
      <c r="G6" s="9">
        <f>SUM('Questions Detail'!J14:J16)</f>
        <v>22</v>
      </c>
      <c r="H6" s="9">
        <f>SUM('Questions Detail'!K14:K16)</f>
        <v>9</v>
      </c>
      <c r="I6" s="9">
        <f>SUM('Questions Detail'!L14:L16)</f>
        <v>17</v>
      </c>
      <c r="J6" s="9">
        <f t="shared" si="1"/>
        <v>13</v>
      </c>
      <c r="K6" s="9">
        <f t="shared" si="2"/>
        <v>-5</v>
      </c>
      <c r="L6" s="5" t="s">
        <v>30</v>
      </c>
    </row>
    <row r="7" spans="1:12" x14ac:dyDescent="0.45">
      <c r="A7" s="9" t="s">
        <v>49</v>
      </c>
      <c r="B7" s="9">
        <v>3</v>
      </c>
      <c r="C7" s="9">
        <f>SUM('Questions Detail'!C17:C19)</f>
        <v>15</v>
      </c>
      <c r="D7" s="9">
        <f>SUM('Questions Detail'!D17:D19)</f>
        <v>21</v>
      </c>
      <c r="E7" s="9">
        <f t="shared" si="0"/>
        <v>-6</v>
      </c>
      <c r="F7" s="9">
        <f>SUM('Questions Detail'!I17:I19)</f>
        <v>13</v>
      </c>
      <c r="G7" s="9">
        <f>SUM('Questions Detail'!J17:J19)</f>
        <v>17</v>
      </c>
      <c r="H7" s="9">
        <f>SUM('Questions Detail'!K17:K19)</f>
        <v>19</v>
      </c>
      <c r="I7" s="9">
        <f>SUM('Questions Detail'!L17:L19)</f>
        <v>23</v>
      </c>
      <c r="J7" s="9">
        <f t="shared" si="1"/>
        <v>-2</v>
      </c>
      <c r="K7" s="9">
        <f t="shared" si="2"/>
        <v>10</v>
      </c>
      <c r="L7" s="4" t="s">
        <v>32</v>
      </c>
    </row>
    <row r="8" spans="1:12" x14ac:dyDescent="0.45">
      <c r="A8" s="9" t="s">
        <v>53</v>
      </c>
      <c r="B8" s="9">
        <v>3</v>
      </c>
      <c r="C8" s="9">
        <f>SUM('Questions Detail'!C20:C22)</f>
        <v>19</v>
      </c>
      <c r="D8" s="9">
        <f>SUM('Questions Detail'!D20:D22)</f>
        <v>17</v>
      </c>
      <c r="E8" s="9">
        <f t="shared" si="0"/>
        <v>2</v>
      </c>
      <c r="F8" s="9">
        <f>SUM('Questions Detail'!I20:I22)</f>
        <v>19</v>
      </c>
      <c r="G8" s="9">
        <f>SUM('Questions Detail'!J20:J22)</f>
        <v>19</v>
      </c>
      <c r="H8" s="9">
        <f>SUM('Questions Detail'!K20:K22)</f>
        <v>13</v>
      </c>
      <c r="I8" s="9">
        <f>SUM('Questions Detail'!L20:L22)</f>
        <v>21</v>
      </c>
      <c r="J8" s="9">
        <f t="shared" si="1"/>
        <v>6</v>
      </c>
      <c r="K8" s="9">
        <f t="shared" si="2"/>
        <v>2</v>
      </c>
      <c r="L8" s="5" t="s">
        <v>30</v>
      </c>
    </row>
    <row r="9" spans="1:12" x14ac:dyDescent="0.45">
      <c r="A9" s="9" t="s">
        <v>57</v>
      </c>
      <c r="B9" s="9">
        <v>3</v>
      </c>
      <c r="C9" s="9">
        <f>SUM('Questions Detail'!C23:C25)</f>
        <v>23</v>
      </c>
      <c r="D9" s="9">
        <f>SUM('Questions Detail'!D23:D25)</f>
        <v>11</v>
      </c>
      <c r="E9" s="9">
        <f t="shared" si="0"/>
        <v>12</v>
      </c>
      <c r="F9" s="9">
        <f>SUM('Questions Detail'!I23:I25)</f>
        <v>23</v>
      </c>
      <c r="G9" s="9">
        <f>SUM('Questions Detail'!J23:J25)</f>
        <v>23</v>
      </c>
      <c r="H9" s="9">
        <f>SUM('Questions Detail'!K23:K25)</f>
        <v>7</v>
      </c>
      <c r="I9" s="9">
        <f>SUM('Questions Detail'!L23:L25)</f>
        <v>15</v>
      </c>
      <c r="J9" s="9">
        <f t="shared" si="1"/>
        <v>16</v>
      </c>
      <c r="K9" s="9">
        <f t="shared" si="2"/>
        <v>-8</v>
      </c>
      <c r="L9" s="5" t="s">
        <v>30</v>
      </c>
    </row>
    <row r="10" spans="1:12" x14ac:dyDescent="0.45">
      <c r="A10" s="10" t="s">
        <v>68</v>
      </c>
      <c r="B10" s="11">
        <f t="shared" ref="B10:K10" si="3">SUM(B2:B9)</f>
        <v>24</v>
      </c>
      <c r="C10" s="11">
        <f t="shared" si="3"/>
        <v>149</v>
      </c>
      <c r="D10" s="11">
        <f t="shared" si="3"/>
        <v>134</v>
      </c>
      <c r="E10" s="11">
        <f t="shared" si="3"/>
        <v>15</v>
      </c>
      <c r="F10" s="11">
        <f t="shared" si="3"/>
        <v>139</v>
      </c>
      <c r="G10" s="11">
        <f t="shared" si="3"/>
        <v>159</v>
      </c>
      <c r="H10" s="11">
        <f t="shared" si="3"/>
        <v>108</v>
      </c>
      <c r="I10" s="11">
        <f t="shared" si="3"/>
        <v>160</v>
      </c>
      <c r="J10" s="11">
        <f t="shared" si="3"/>
        <v>51</v>
      </c>
      <c r="K10" s="11">
        <f t="shared" si="3"/>
        <v>21</v>
      </c>
      <c r="L10" s="3"/>
    </row>
    <row r="12" spans="1:12" x14ac:dyDescent="0.45">
      <c r="L12" s="2" t="s">
        <v>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G10" sqref="G10"/>
    </sheetView>
  </sheetViews>
  <sheetFormatPr defaultRowHeight="18" x14ac:dyDescent="0.45"/>
  <cols>
    <col min="1" max="1" width="12.77734375" style="2" bestFit="1" customWidth="1"/>
    <col min="2" max="2" width="41.33203125" style="2" bestFit="1" customWidth="1"/>
    <col min="3" max="3" width="8.21875" style="2" bestFit="1" customWidth="1"/>
    <col min="4" max="5" width="15.33203125" style="2" bestFit="1" customWidth="1"/>
    <col min="6" max="6" width="16.5546875" style="2" bestFit="1" customWidth="1"/>
    <col min="7" max="7" width="17.77734375" style="2" bestFit="1" customWidth="1"/>
    <col min="8" max="10" width="8.88671875" style="2" customWidth="1"/>
    <col min="11" max="16384" width="8.88671875" style="2"/>
  </cols>
  <sheetData>
    <row r="1" spans="1:7" x14ac:dyDescent="0.45">
      <c r="A1" s="1" t="s">
        <v>0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x14ac:dyDescent="0.45">
      <c r="A2" s="9" t="str">
        <f>'Questions Detail'!A3</f>
        <v>Economy</v>
      </c>
      <c r="B2" s="9" t="str">
        <f>'Questions Detail'!B3</f>
        <v>Q2: Who's to blame for inflation?</v>
      </c>
      <c r="C2" s="9" t="str">
        <f>'Questions Detail'!F3</f>
        <v>Harris</v>
      </c>
      <c r="D2" s="9">
        <f>'Questions Detail'!E3</f>
        <v>-4</v>
      </c>
      <c r="E2" s="9">
        <f>IF('Questions Detail'!F3="Harris",'Questions Detail'!I3-'Questions Detail'!D3,'Questions Detail'!C3-'Questions Detail'!K3)</f>
        <v>-6</v>
      </c>
      <c r="F2" s="9">
        <f>IF('Questions Detail'!F3="Harris",'Questions Detail'!J3-'Questions Detail'!D3,'Questions Detail'!C3-'Questions Detail'!L3)</f>
        <v>-2</v>
      </c>
      <c r="G2" s="9">
        <f t="shared" ref="G2:G19" si="0">(E2+F2)/2</f>
        <v>-4</v>
      </c>
    </row>
    <row r="3" spans="1:7" x14ac:dyDescent="0.45">
      <c r="A3" s="9" t="str">
        <f>'Questions Detail'!A4</f>
        <v>Economy</v>
      </c>
      <c r="B3" s="9" t="str">
        <f>'Questions Detail'!B4</f>
        <v>Q3: What are your economic plans?</v>
      </c>
      <c r="C3" s="9" t="str">
        <f>'Questions Detail'!F4</f>
        <v>Trump</v>
      </c>
      <c r="D3" s="9">
        <f>'Questions Detail'!E4</f>
        <v>2</v>
      </c>
      <c r="E3" s="9">
        <f>IF('Questions Detail'!F4="Harris",'Questions Detail'!I4-'Questions Detail'!D4,'Questions Detail'!C4-'Questions Detail'!K4)</f>
        <v>4</v>
      </c>
      <c r="F3" s="9">
        <f>IF('Questions Detail'!F4="Harris",'Questions Detail'!J4-'Questions Detail'!D4,'Questions Detail'!C4-'Questions Detail'!L4)</f>
        <v>0</v>
      </c>
      <c r="G3" s="9">
        <f t="shared" si="0"/>
        <v>2</v>
      </c>
    </row>
    <row r="4" spans="1:7" x14ac:dyDescent="0.45">
      <c r="A4" s="9" t="str">
        <f>'Questions Detail'!A5</f>
        <v>Tariffs</v>
      </c>
      <c r="B4" s="9" t="str">
        <f>'Questions Detail'!B5</f>
        <v>Q1: Will tariffs raise prices?</v>
      </c>
      <c r="C4" s="9" t="str">
        <f>'Questions Detail'!F5</f>
        <v>Trump</v>
      </c>
      <c r="D4" s="9">
        <f>'Questions Detail'!E5</f>
        <v>1</v>
      </c>
      <c r="E4" s="9">
        <f>IF('Questions Detail'!F5="Harris",'Questions Detail'!I5-'Questions Detail'!D5,'Questions Detail'!C5-'Questions Detail'!K5)</f>
        <v>3</v>
      </c>
      <c r="F4" s="9">
        <f>IF('Questions Detail'!F5="Harris",'Questions Detail'!J5-'Questions Detail'!D5,'Questions Detail'!C5-'Questions Detail'!L5)</f>
        <v>-1</v>
      </c>
      <c r="G4" s="9">
        <f t="shared" si="0"/>
        <v>1</v>
      </c>
    </row>
    <row r="5" spans="1:7" x14ac:dyDescent="0.45">
      <c r="A5" s="9" t="str">
        <f>'Questions Detail'!A6</f>
        <v>Tariffs</v>
      </c>
      <c r="B5" s="9" t="str">
        <f>'Questions Detail'!B6</f>
        <v>Q2: How will you handle China?</v>
      </c>
      <c r="C5" s="9" t="str">
        <f>'Questions Detail'!F6</f>
        <v>Harris</v>
      </c>
      <c r="D5" s="9">
        <f>'Questions Detail'!E6</f>
        <v>-4</v>
      </c>
      <c r="E5" s="9">
        <f>IF('Questions Detail'!F6="Harris",'Questions Detail'!I6-'Questions Detail'!D6,'Questions Detail'!C6-'Questions Detail'!K6)</f>
        <v>-6</v>
      </c>
      <c r="F5" s="9">
        <f>IF('Questions Detail'!F6="Harris",'Questions Detail'!J6-'Questions Detail'!D6,'Questions Detail'!C6-'Questions Detail'!L6)</f>
        <v>-2</v>
      </c>
      <c r="G5" s="9">
        <f t="shared" si="0"/>
        <v>-4</v>
      </c>
    </row>
    <row r="6" spans="1:7" x14ac:dyDescent="0.45">
      <c r="A6" s="9" t="str">
        <f>'Questions Detail'!A8</f>
        <v>Abortion</v>
      </c>
      <c r="B6" s="9" t="str">
        <f>'Questions Detail'!B8</f>
        <v>Q1: Why should women trust you?</v>
      </c>
      <c r="C6" s="9" t="str">
        <f>'Questions Detail'!F8</f>
        <v>Trump</v>
      </c>
      <c r="D6" s="9">
        <f>'Questions Detail'!E8</f>
        <v>6</v>
      </c>
      <c r="E6" s="9">
        <f>IF('Questions Detail'!F8="Harris",'Questions Detail'!I8-'Questions Detail'!D8,'Questions Detail'!C8-'Questions Detail'!K8)</f>
        <v>8</v>
      </c>
      <c r="F6" s="9">
        <f>IF('Questions Detail'!F8="Harris",'Questions Detail'!J8-'Questions Detail'!D8,'Questions Detail'!C8-'Questions Detail'!L8)</f>
        <v>4</v>
      </c>
      <c r="G6" s="9">
        <f t="shared" si="0"/>
        <v>6</v>
      </c>
    </row>
    <row r="7" spans="1:7" x14ac:dyDescent="0.45">
      <c r="A7" s="9" t="str">
        <f>'Questions Detail'!A9</f>
        <v>Abortion</v>
      </c>
      <c r="B7" s="9" t="str">
        <f>'Questions Detail'!B9</f>
        <v>Q2: Would you support restrictions?</v>
      </c>
      <c r="C7" s="9" t="str">
        <f>'Questions Detail'!F9</f>
        <v>Harris</v>
      </c>
      <c r="D7" s="9">
        <f>'Questions Detail'!E9</f>
        <v>0</v>
      </c>
      <c r="E7" s="9">
        <f>IF('Questions Detail'!F9="Harris",'Questions Detail'!I9-'Questions Detail'!D9,'Questions Detail'!C9-'Questions Detail'!K9)</f>
        <v>-2</v>
      </c>
      <c r="F7" s="9">
        <f>IF('Questions Detail'!F9="Harris",'Questions Detail'!J9-'Questions Detail'!D9,'Questions Detail'!C9-'Questions Detail'!L9)</f>
        <v>2</v>
      </c>
      <c r="G7" s="9">
        <f t="shared" si="0"/>
        <v>0</v>
      </c>
    </row>
    <row r="8" spans="1:7" x14ac:dyDescent="0.45">
      <c r="A8" s="9" t="str">
        <f>'Questions Detail'!A10</f>
        <v>Abortion</v>
      </c>
      <c r="B8" s="9" t="str">
        <f>'Questions Detail'!B10</f>
        <v>Q3: Would you veto national ban?</v>
      </c>
      <c r="C8" s="9" t="str">
        <f>'Questions Detail'!F10</f>
        <v>Trump</v>
      </c>
      <c r="D8" s="9">
        <f>'Questions Detail'!E10</f>
        <v>7</v>
      </c>
      <c r="E8" s="9">
        <f>IF('Questions Detail'!F10="Harris",'Questions Detail'!I10-'Questions Detail'!D10,'Questions Detail'!C10-'Questions Detail'!K10)</f>
        <v>9</v>
      </c>
      <c r="F8" s="9">
        <f>IF('Questions Detail'!F10="Harris",'Questions Detail'!J10-'Questions Detail'!D10,'Questions Detail'!C10-'Questions Detail'!L10)</f>
        <v>5</v>
      </c>
      <c r="G8" s="9">
        <f t="shared" si="0"/>
        <v>7</v>
      </c>
    </row>
    <row r="9" spans="1:7" x14ac:dyDescent="0.45">
      <c r="A9" s="9" t="str">
        <f>'Questions Detail'!A11</f>
        <v>Immigration</v>
      </c>
      <c r="B9" s="9" t="str">
        <f>'Questions Detail'!B11</f>
        <v>Q1: Why wait to act on border?</v>
      </c>
      <c r="C9" s="9" t="str">
        <f>'Questions Detail'!F11</f>
        <v>Harris</v>
      </c>
      <c r="D9" s="9">
        <f>'Questions Detail'!E11</f>
        <v>-4</v>
      </c>
      <c r="E9" s="9">
        <f>IF('Questions Detail'!F11="Harris",'Questions Detail'!I11-'Questions Detail'!D11,'Questions Detail'!C11-'Questions Detail'!K11)</f>
        <v>-6</v>
      </c>
      <c r="F9" s="9">
        <f>IF('Questions Detail'!F11="Harris",'Questions Detail'!J11-'Questions Detail'!D11,'Questions Detail'!C11-'Questions Detail'!L11)</f>
        <v>-2</v>
      </c>
      <c r="G9" s="9">
        <f t="shared" si="0"/>
        <v>-4</v>
      </c>
    </row>
    <row r="10" spans="1:7" x14ac:dyDescent="0.45">
      <c r="A10" s="9" t="str">
        <f>'Questions Detail'!A12</f>
        <v>Immigration</v>
      </c>
      <c r="B10" s="9" t="str">
        <f>'Questions Detail'!B12</f>
        <v>Q2: Why kill the border bill?</v>
      </c>
      <c r="C10" s="9" t="str">
        <f>'Questions Detail'!F12</f>
        <v>Trump</v>
      </c>
      <c r="D10" s="9">
        <f>'Questions Detail'!E12</f>
        <v>2</v>
      </c>
      <c r="E10" s="9">
        <f>IF('Questions Detail'!F12="Harris",'Questions Detail'!I12-'Questions Detail'!D12,'Questions Detail'!C12-'Questions Detail'!K12)</f>
        <v>4</v>
      </c>
      <c r="F10" s="9">
        <f>IF('Questions Detail'!F12="Harris",'Questions Detail'!J12-'Questions Detail'!D12,'Questions Detail'!C12-'Questions Detail'!L12)</f>
        <v>0</v>
      </c>
      <c r="G10" s="9">
        <f t="shared" si="0"/>
        <v>2</v>
      </c>
    </row>
    <row r="11" spans="1:7" x14ac:dyDescent="0.45">
      <c r="A11" s="9" t="str">
        <f>'Questions Detail'!A13</f>
        <v>Immigration</v>
      </c>
      <c r="B11" s="9" t="str">
        <f>'Questions Detail'!B13</f>
        <v>Q3: How would you deport millions?</v>
      </c>
      <c r="C11" s="9" t="str">
        <f>'Questions Detail'!F13</f>
        <v>Trump</v>
      </c>
      <c r="D11" s="9">
        <f>'Questions Detail'!E13</f>
        <v>-4</v>
      </c>
      <c r="E11" s="9">
        <f>IF('Questions Detail'!F13="Harris",'Questions Detail'!I13-'Questions Detail'!D13,'Questions Detail'!C13-'Questions Detail'!K13)</f>
        <v>-2</v>
      </c>
      <c r="F11" s="9">
        <f>IF('Questions Detail'!F13="Harris",'Questions Detail'!J13-'Questions Detail'!D13,'Questions Detail'!C13-'Questions Detail'!L13)</f>
        <v>-6</v>
      </c>
      <c r="G11" s="9">
        <f t="shared" si="0"/>
        <v>-4</v>
      </c>
    </row>
    <row r="12" spans="1:7" x14ac:dyDescent="0.45">
      <c r="A12" s="9" t="str">
        <f>'Questions Detail'!A14</f>
        <v>January 6th</v>
      </c>
      <c r="B12" s="9" t="str">
        <f>'Questions Detail'!B14</f>
        <v>Q1: Any regrets about Jan 6th?</v>
      </c>
      <c r="C12" s="9" t="str">
        <f>'Questions Detail'!F14</f>
        <v>Trump</v>
      </c>
      <c r="D12" s="9">
        <f>'Questions Detail'!E14</f>
        <v>4</v>
      </c>
      <c r="E12" s="9">
        <f>IF('Questions Detail'!F14="Harris",'Questions Detail'!I14-'Questions Detail'!D14,'Questions Detail'!C14-'Questions Detail'!K14)</f>
        <v>6</v>
      </c>
      <c r="F12" s="9">
        <f>IF('Questions Detail'!F14="Harris",'Questions Detail'!J14-'Questions Detail'!D14,'Questions Detail'!C14-'Questions Detail'!L14)</f>
        <v>2</v>
      </c>
      <c r="G12" s="9">
        <f t="shared" si="0"/>
        <v>4</v>
      </c>
    </row>
    <row r="13" spans="1:7" x14ac:dyDescent="0.45">
      <c r="A13" s="9" t="str">
        <f>'Questions Detail'!A15</f>
        <v>January 6th</v>
      </c>
      <c r="B13" s="9" t="str">
        <f>'Questions Detail'!B15</f>
        <v>Q2: Do you accept you lost 2020?</v>
      </c>
      <c r="C13" s="9" t="str">
        <f>'Questions Detail'!F15</f>
        <v>Trump</v>
      </c>
      <c r="D13" s="9">
        <f>'Questions Detail'!E15</f>
        <v>5</v>
      </c>
      <c r="E13" s="9">
        <f>IF('Questions Detail'!F15="Harris",'Questions Detail'!I15-'Questions Detail'!D15,'Questions Detail'!C15-'Questions Detail'!K15)</f>
        <v>7</v>
      </c>
      <c r="F13" s="9">
        <f>IF('Questions Detail'!F15="Harris",'Questions Detail'!J15-'Questions Detail'!D15,'Questions Detail'!C15-'Questions Detail'!L15)</f>
        <v>3</v>
      </c>
      <c r="G13" s="9">
        <f t="shared" si="0"/>
        <v>5</v>
      </c>
    </row>
    <row r="14" spans="1:7" x14ac:dyDescent="0.45">
      <c r="A14" s="9" t="str">
        <f>'Questions Detail'!A18</f>
        <v>Israel</v>
      </c>
      <c r="B14" s="9" t="str">
        <f>'Questions Detail'!B18</f>
        <v>Q2: Do you support Israel?</v>
      </c>
      <c r="C14" s="9" t="str">
        <f>'Questions Detail'!F18</f>
        <v>Harris</v>
      </c>
      <c r="D14" s="9">
        <f>'Questions Detail'!E18</f>
        <v>-4</v>
      </c>
      <c r="E14" s="9">
        <f>IF('Questions Detail'!F18="Harris",'Questions Detail'!I18-'Questions Detail'!D18,'Questions Detail'!C18-'Questions Detail'!K18)</f>
        <v>-6</v>
      </c>
      <c r="F14" s="9">
        <f>IF('Questions Detail'!F18="Harris",'Questions Detail'!J18-'Questions Detail'!D18,'Questions Detail'!C18-'Questions Detail'!L18)</f>
        <v>-2</v>
      </c>
      <c r="G14" s="9">
        <f t="shared" si="0"/>
        <v>-4</v>
      </c>
    </row>
    <row r="15" spans="1:7" x14ac:dyDescent="0.45">
      <c r="A15" s="9" t="str">
        <f>'Questions Detail'!A19</f>
        <v>Israel</v>
      </c>
      <c r="B15" s="9" t="str">
        <f>'Questions Detail'!B19</f>
        <v>Q3: Why do dictators support you?</v>
      </c>
      <c r="C15" s="9" t="str">
        <f>'Questions Detail'!F19</f>
        <v>Trump</v>
      </c>
      <c r="D15" s="9">
        <f>'Questions Detail'!E19</f>
        <v>-2</v>
      </c>
      <c r="E15" s="9">
        <f>IF('Questions Detail'!F19="Harris",'Questions Detail'!I19-'Questions Detail'!D19,'Questions Detail'!C19-'Questions Detail'!K19)</f>
        <v>0</v>
      </c>
      <c r="F15" s="9">
        <f>IF('Questions Detail'!F19="Harris",'Questions Detail'!J19-'Questions Detail'!D19,'Questions Detail'!C19-'Questions Detail'!L19)</f>
        <v>-4</v>
      </c>
      <c r="G15" s="9">
        <f t="shared" si="0"/>
        <v>-2</v>
      </c>
    </row>
    <row r="16" spans="1:7" x14ac:dyDescent="0.45">
      <c r="A16" s="9" t="str">
        <f>'Questions Detail'!A20</f>
        <v>Ukraine</v>
      </c>
      <c r="B16" s="9" t="str">
        <f>'Questions Detail'!B20</f>
        <v>Q1: How end it in 24 hours?</v>
      </c>
      <c r="C16" s="9" t="str">
        <f>'Questions Detail'!F20</f>
        <v>Trump</v>
      </c>
      <c r="D16" s="9">
        <f>'Questions Detail'!E20</f>
        <v>2</v>
      </c>
      <c r="E16" s="9">
        <f>IF('Questions Detail'!F20="Harris",'Questions Detail'!I20-'Questions Detail'!D20,'Questions Detail'!C20-'Questions Detail'!K20)</f>
        <v>4</v>
      </c>
      <c r="F16" s="9">
        <f>IF('Questions Detail'!F20="Harris",'Questions Detail'!J20-'Questions Detail'!D20,'Questions Detail'!C20-'Questions Detail'!L20)</f>
        <v>0</v>
      </c>
      <c r="G16" s="9">
        <f t="shared" si="0"/>
        <v>2</v>
      </c>
    </row>
    <row r="17" spans="1:7" x14ac:dyDescent="0.45">
      <c r="A17" s="9" t="str">
        <f>'Questions Detail'!A21</f>
        <v>Ukraine</v>
      </c>
      <c r="B17" s="9" t="str">
        <f>'Questions Detail'!B21</f>
        <v>Q2: Do you want Ukraine to win?</v>
      </c>
      <c r="C17" s="9" t="str">
        <f>'Questions Detail'!F21</f>
        <v>Trump</v>
      </c>
      <c r="D17" s="9">
        <f>'Questions Detail'!E21</f>
        <v>2</v>
      </c>
      <c r="E17" s="9">
        <f>IF('Questions Detail'!F21="Harris",'Questions Detail'!I21-'Questions Detail'!D21,'Questions Detail'!C21-'Questions Detail'!K21)</f>
        <v>4</v>
      </c>
      <c r="F17" s="9">
        <f>IF('Questions Detail'!F21="Harris",'Questions Detail'!J21-'Questions Detail'!D21,'Questions Detail'!C21-'Questions Detail'!L21)</f>
        <v>0</v>
      </c>
      <c r="G17" s="9">
        <f t="shared" si="0"/>
        <v>2</v>
      </c>
    </row>
    <row r="18" spans="1:7" x14ac:dyDescent="0.45">
      <c r="A18" s="9" t="str">
        <f>'Questions Detail'!A23</f>
        <v>Race</v>
      </c>
      <c r="B18" s="9" t="str">
        <f>'Questions Detail'!B23</f>
        <v>Q1: Why question her racial identity?</v>
      </c>
      <c r="C18" s="9" t="str">
        <f>'Questions Detail'!F23</f>
        <v>Trump</v>
      </c>
      <c r="D18" s="9">
        <f>'Questions Detail'!E23</f>
        <v>7</v>
      </c>
      <c r="E18" s="9">
        <f>IF('Questions Detail'!F23="Harris",'Questions Detail'!I23-'Questions Detail'!D23,'Questions Detail'!C23-'Questions Detail'!K23)</f>
        <v>9</v>
      </c>
      <c r="F18" s="9">
        <f>IF('Questions Detail'!F23="Harris",'Questions Detail'!J23-'Questions Detail'!D23,'Questions Detail'!C23-'Questions Detail'!L23)</f>
        <v>5</v>
      </c>
      <c r="G18" s="9">
        <f t="shared" si="0"/>
        <v>7</v>
      </c>
    </row>
    <row r="19" spans="1:7" x14ac:dyDescent="0.45">
      <c r="A19" s="9" t="str">
        <f>'Questions Detail'!A25</f>
        <v>Race</v>
      </c>
      <c r="B19" s="9" t="str">
        <f>'Questions Detail'!B25</f>
        <v>Q3: What's your record on race?</v>
      </c>
      <c r="C19" s="9" t="str">
        <f>'Questions Detail'!F25</f>
        <v>Trump</v>
      </c>
      <c r="D19" s="9">
        <f>'Questions Detail'!E25</f>
        <v>0</v>
      </c>
      <c r="E19" s="9">
        <f>IF('Questions Detail'!F25="Harris",'Questions Detail'!I25-'Questions Detail'!D25,'Questions Detail'!C25-'Questions Detail'!K25)</f>
        <v>2</v>
      </c>
      <c r="F19" s="9">
        <f>IF('Questions Detail'!F25="Harris",'Questions Detail'!J25-'Questions Detail'!D25,'Questions Detail'!C25-'Questions Detail'!L25)</f>
        <v>-2</v>
      </c>
      <c r="G19" s="9">
        <f t="shared" si="0"/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B4" sqref="B4"/>
    </sheetView>
  </sheetViews>
  <sheetFormatPr defaultRowHeight="14.4" x14ac:dyDescent="0.25"/>
  <cols>
    <col min="1" max="1" width="32.33203125" bestFit="1" customWidth="1"/>
    <col min="2" max="2" width="13.6640625" bestFit="1" customWidth="1"/>
    <col min="3" max="3" width="14.109375" bestFit="1" customWidth="1"/>
    <col min="4" max="4" width="10.5546875" bestFit="1" customWidth="1"/>
    <col min="5" max="5" width="8.5546875" bestFit="1" customWidth="1"/>
  </cols>
  <sheetData>
    <row r="1" spans="1:6" ht="18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/>
    </row>
    <row r="2" spans="1:6" ht="18" customHeight="1" x14ac:dyDescent="0.45">
      <c r="A2" s="8" t="str">
        <f>'Section Summary'!A2</f>
        <v>Economy</v>
      </c>
      <c r="B2" s="8">
        <f>ROUND('Section Summary'!C2*2/3,1)</f>
        <v>10.7</v>
      </c>
      <c r="C2" s="8">
        <f>ROUND('Section Summary'!D2*2/3,1)</f>
        <v>13.3</v>
      </c>
      <c r="D2" s="8">
        <f t="shared" ref="D2:D9" si="0">B2-C2</f>
        <v>-2.6000000000000014</v>
      </c>
      <c r="E2" s="8" t="str">
        <f t="shared" ref="E2:E9" si="1">IF(D2&gt;0,"Harris",IF(D2&lt;0,"Trump","Tie"))</f>
        <v>Trump</v>
      </c>
      <c r="F2" s="2"/>
    </row>
    <row r="3" spans="1:6" ht="18" customHeight="1" x14ac:dyDescent="0.45">
      <c r="A3" s="8" t="str">
        <f>'Section Summary'!A3</f>
        <v>Tariffs</v>
      </c>
      <c r="B3" s="8">
        <f>ROUND('Section Summary'!C3*2/3,1)</f>
        <v>10</v>
      </c>
      <c r="C3" s="8">
        <f>ROUND('Section Summary'!D3*2/3,1)</f>
        <v>13.3</v>
      </c>
      <c r="D3" s="8">
        <f t="shared" si="0"/>
        <v>-3.3000000000000007</v>
      </c>
      <c r="E3" s="8" t="str">
        <f t="shared" si="1"/>
        <v>Trump</v>
      </c>
      <c r="F3" s="2"/>
    </row>
    <row r="4" spans="1:6" ht="18" customHeight="1" x14ac:dyDescent="0.45">
      <c r="A4" s="8" t="str">
        <f>'Section Summary'!A4</f>
        <v>Abortion</v>
      </c>
      <c r="B4" s="8">
        <f>ROUND('Section Summary'!C4*2/3,1)</f>
        <v>16</v>
      </c>
      <c r="C4" s="8">
        <f>ROUND('Section Summary'!D4*2/3,1)</f>
        <v>7.3</v>
      </c>
      <c r="D4" s="8">
        <f t="shared" si="0"/>
        <v>8.6999999999999993</v>
      </c>
      <c r="E4" s="8" t="str">
        <f t="shared" si="1"/>
        <v>Harris</v>
      </c>
      <c r="F4" s="2"/>
    </row>
    <row r="5" spans="1:6" ht="18" customHeight="1" x14ac:dyDescent="0.45">
      <c r="A5" s="8" t="str">
        <f>'Section Summary'!A5</f>
        <v>Immigration</v>
      </c>
      <c r="B5" s="8">
        <f>ROUND('Section Summary'!C5*2/3,1)</f>
        <v>10</v>
      </c>
      <c r="C5" s="8">
        <f>ROUND('Section Summary'!D5*2/3,1)</f>
        <v>14</v>
      </c>
      <c r="D5" s="8">
        <f t="shared" si="0"/>
        <v>-4</v>
      </c>
      <c r="E5" s="8" t="str">
        <f t="shared" si="1"/>
        <v>Trump</v>
      </c>
      <c r="F5" s="2"/>
    </row>
    <row r="6" spans="1:6" ht="18" customHeight="1" x14ac:dyDescent="0.45">
      <c r="A6" s="8" t="str">
        <f>'Section Summary'!A6</f>
        <v>January 6th</v>
      </c>
      <c r="B6" s="8">
        <f>ROUND('Section Summary'!C6*2/3,1)</f>
        <v>14.7</v>
      </c>
      <c r="C6" s="8">
        <f>ROUND('Section Summary'!D6*2/3,1)</f>
        <v>8.6999999999999993</v>
      </c>
      <c r="D6" s="8">
        <f t="shared" si="0"/>
        <v>6</v>
      </c>
      <c r="E6" s="8" t="str">
        <f t="shared" si="1"/>
        <v>Harris</v>
      </c>
      <c r="F6" s="2"/>
    </row>
    <row r="7" spans="1:6" ht="18" customHeight="1" x14ac:dyDescent="0.45">
      <c r="A7" s="8" t="str">
        <f>'Section Summary'!A7</f>
        <v>Israel</v>
      </c>
      <c r="B7" s="8">
        <f>ROUND('Section Summary'!C7*2/3,1)</f>
        <v>10</v>
      </c>
      <c r="C7" s="8">
        <f>ROUND('Section Summary'!D7*2/3,1)</f>
        <v>14</v>
      </c>
      <c r="D7" s="8">
        <f t="shared" si="0"/>
        <v>-4</v>
      </c>
      <c r="E7" s="8" t="str">
        <f t="shared" si="1"/>
        <v>Trump</v>
      </c>
      <c r="F7" s="2"/>
    </row>
    <row r="8" spans="1:6" ht="18" customHeight="1" x14ac:dyDescent="0.45">
      <c r="A8" s="8" t="str">
        <f>'Section Summary'!A8</f>
        <v>Ukraine</v>
      </c>
      <c r="B8" s="8">
        <f>ROUND('Section Summary'!C8*2/3,1)</f>
        <v>12.7</v>
      </c>
      <c r="C8" s="8">
        <f>ROUND('Section Summary'!D8*2/3,1)</f>
        <v>11.3</v>
      </c>
      <c r="D8" s="8">
        <f t="shared" si="0"/>
        <v>1.3999999999999986</v>
      </c>
      <c r="E8" s="8" t="str">
        <f t="shared" si="1"/>
        <v>Harris</v>
      </c>
      <c r="F8" s="2"/>
    </row>
    <row r="9" spans="1:6" ht="18" customHeight="1" x14ac:dyDescent="0.45">
      <c r="A9" s="8" t="str">
        <f>'Section Summary'!A9</f>
        <v>Race</v>
      </c>
      <c r="B9" s="8">
        <f>ROUND('Section Summary'!C9*2/3,1)</f>
        <v>15.3</v>
      </c>
      <c r="C9" s="8">
        <f>ROUND('Section Summary'!D9*2/3,1)</f>
        <v>7.3</v>
      </c>
      <c r="D9" s="8">
        <f t="shared" si="0"/>
        <v>8</v>
      </c>
      <c r="E9" s="8" t="str">
        <f t="shared" si="1"/>
        <v>Harris</v>
      </c>
      <c r="F9" s="2"/>
    </row>
    <row r="10" spans="1:6" ht="18" customHeight="1" x14ac:dyDescent="0.45">
      <c r="A10" s="2"/>
      <c r="B10" s="2"/>
      <c r="C10" s="2"/>
      <c r="D10" s="2"/>
      <c r="E10" s="2"/>
      <c r="F10" s="2"/>
    </row>
    <row r="11" spans="1:6" ht="19.8" customHeight="1" x14ac:dyDescent="0.5">
      <c r="A11" s="6" t="s">
        <v>5</v>
      </c>
      <c r="B11" s="2"/>
      <c r="C11" s="2"/>
      <c r="D11" s="2"/>
      <c r="E11" s="2"/>
      <c r="F11" s="2"/>
    </row>
    <row r="12" spans="1:6" ht="18" customHeight="1" x14ac:dyDescent="0.45">
      <c r="A12" s="7" t="s">
        <v>6</v>
      </c>
      <c r="B12" s="7" t="s">
        <v>7</v>
      </c>
      <c r="C12" s="7" t="s">
        <v>8</v>
      </c>
      <c r="D12" s="7" t="s">
        <v>9</v>
      </c>
      <c r="E12" s="7" t="s">
        <v>10</v>
      </c>
      <c r="F12" s="2"/>
    </row>
    <row r="13" spans="1:6" ht="18" customHeight="1" x14ac:dyDescent="0.45">
      <c r="A13" s="8" t="s">
        <v>11</v>
      </c>
      <c r="B13" s="8">
        <f>B4+B9+B6+B8+B2</f>
        <v>69.400000000000006</v>
      </c>
      <c r="C13" s="8">
        <f>C4+C9+C6+C8+C2</f>
        <v>47.899999999999991</v>
      </c>
      <c r="D13" s="8">
        <f>B13-C13</f>
        <v>21.500000000000014</v>
      </c>
      <c r="E13" s="8" t="str">
        <f>IF(D13&gt;0,"Harris",IF(D13&lt;0,"Trump","Tie"))</f>
        <v>Harris</v>
      </c>
      <c r="F13" s="2"/>
    </row>
    <row r="14" spans="1:6" ht="18" customHeight="1" x14ac:dyDescent="0.45">
      <c r="A14" s="8" t="s">
        <v>12</v>
      </c>
      <c r="B14" s="8">
        <f>B5+B7+B3+B2+B8</f>
        <v>53.400000000000006</v>
      </c>
      <c r="C14" s="8">
        <f>C5+C7+C3+C2+C8</f>
        <v>65.899999999999991</v>
      </c>
      <c r="D14" s="8">
        <f>B14-C14</f>
        <v>-12.499999999999986</v>
      </c>
      <c r="E14" s="8" t="str">
        <f>IF(D14&gt;0,"Harris",IF(D14&lt;0,"Trump","Tie"))</f>
        <v>Trump</v>
      </c>
      <c r="F14" s="2"/>
    </row>
    <row r="15" spans="1:6" ht="18" customHeight="1" x14ac:dyDescent="0.45">
      <c r="A15" s="8" t="s">
        <v>13</v>
      </c>
      <c r="B15" s="8">
        <f>B9+B6+B8+B3+B7</f>
        <v>62.7</v>
      </c>
      <c r="C15" s="8">
        <f>C9+C6+C8+C3+C7</f>
        <v>54.6</v>
      </c>
      <c r="D15" s="8">
        <f>B15-C15</f>
        <v>8.1000000000000014</v>
      </c>
      <c r="E15" s="8" t="str">
        <f>IF(D15&gt;0,"Harris",IF(D15&lt;0,"Trump","Tie"))</f>
        <v>Harris</v>
      </c>
      <c r="F15" s="2"/>
    </row>
    <row r="16" spans="1:6" ht="18" customHeight="1" x14ac:dyDescent="0.45">
      <c r="A16" s="8" t="s">
        <v>14</v>
      </c>
      <c r="B16" s="8">
        <f>ROUND(SUM(B2:B9)*5/8,1)</f>
        <v>62.1</v>
      </c>
      <c r="C16" s="8">
        <f>ROUND(SUM(C2:C9)*5/8,1)</f>
        <v>55.8</v>
      </c>
      <c r="D16" s="8">
        <f>B16-C16</f>
        <v>6.3000000000000043</v>
      </c>
      <c r="E16" s="8" t="str">
        <f>IF(D16&gt;0,"Harris",IF(D16&lt;0,"Trump","Tie"))</f>
        <v>Harris</v>
      </c>
      <c r="F16" s="2"/>
    </row>
    <row r="17" spans="1:6" ht="18" customHeight="1" x14ac:dyDescent="0.45">
      <c r="A17" s="2"/>
      <c r="B17" s="2"/>
      <c r="C17" s="2"/>
      <c r="D17" s="2"/>
      <c r="E17" s="2"/>
      <c r="F17" s="2"/>
    </row>
    <row r="18" spans="1:6" ht="18" customHeight="1" x14ac:dyDescent="0.45">
      <c r="A18" s="2"/>
      <c r="B18" s="2"/>
      <c r="C18" s="2"/>
      <c r="D18" s="2"/>
      <c r="E18" s="2"/>
      <c r="F18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 Detail</vt:lpstr>
      <vt:lpstr>Section Summary</vt:lpstr>
      <vt:lpstr>Challenge Outcomes</vt:lpstr>
      <vt:lpstr>Game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Haocheng Su</cp:lastModifiedBy>
  <dcterms:created xsi:type="dcterms:W3CDTF">2026-03-13T22:59:54Z</dcterms:created>
  <dcterms:modified xsi:type="dcterms:W3CDTF">2026-03-14T14:30:29Z</dcterms:modified>
</cp:coreProperties>
</file>